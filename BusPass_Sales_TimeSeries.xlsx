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wri-my.sharepoint.com/personal/sairatna_chaitanya_wri_org/Documents/Documents/Personal/rti/Media/"/>
    </mc:Choice>
  </mc:AlternateContent>
  <xr:revisionPtr revIDLastSave="307" documentId="8_{3B5A5806-FA1F-4056-9787-4F33C9697A22}" xr6:coauthVersionLast="47" xr6:coauthVersionMax="47" xr10:uidLastSave="{8D75DA32-AD40-4A34-A7FC-209DE7DBE9F0}"/>
  <bookViews>
    <workbookView xWindow="-110" yWindow="-110" windowWidth="19420" windowHeight="10300" activeTab="1" xr2:uid="{C6261436-D4DA-47F8-B22C-FC1AEB2698E6}"/>
  </bookViews>
  <sheets>
    <sheet name="Pass Rates" sheetId="1" r:id="rId1"/>
    <sheet name="Pass Sal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P6" i="4"/>
  <c r="Q6" i="4"/>
  <c r="R6" i="4"/>
  <c r="S6" i="4"/>
  <c r="T6" i="4"/>
  <c r="U6" i="4"/>
  <c r="V6" i="4"/>
  <c r="W6" i="4"/>
  <c r="X6" i="4"/>
  <c r="O7" i="4"/>
  <c r="P7" i="4"/>
  <c r="Q7" i="4"/>
  <c r="R7" i="4"/>
  <c r="S7" i="4"/>
  <c r="T7" i="4"/>
  <c r="U7" i="4"/>
  <c r="V7" i="4"/>
  <c r="W7" i="4"/>
  <c r="X7" i="4"/>
  <c r="O8" i="4"/>
  <c r="P8" i="4"/>
  <c r="Q8" i="4"/>
  <c r="R8" i="4"/>
  <c r="S8" i="4"/>
  <c r="T8" i="4"/>
  <c r="U8" i="4"/>
  <c r="V8" i="4"/>
  <c r="W8" i="4"/>
  <c r="X8" i="4"/>
  <c r="S9" i="4"/>
  <c r="T9" i="4"/>
  <c r="U9" i="4"/>
  <c r="V9" i="4"/>
  <c r="W9" i="4"/>
  <c r="X9" i="4"/>
  <c r="T10" i="4"/>
  <c r="U10" i="4"/>
  <c r="V10" i="4"/>
  <c r="W10" i="4"/>
  <c r="X10" i="4"/>
  <c r="O11" i="4"/>
  <c r="V11" i="4"/>
  <c r="W11" i="4"/>
  <c r="X11" i="4"/>
  <c r="T12" i="4"/>
  <c r="U12" i="4"/>
  <c r="P5" i="4"/>
  <c r="Q5" i="4"/>
  <c r="R5" i="4"/>
  <c r="S5" i="4"/>
  <c r="T5" i="4"/>
  <c r="U5" i="4"/>
  <c r="V5" i="4"/>
  <c r="W5" i="4"/>
  <c r="X5" i="4"/>
  <c r="O5" i="4"/>
  <c r="J12" i="4"/>
  <c r="V12" i="4" s="1"/>
  <c r="K12" i="4"/>
  <c r="L12" i="4"/>
  <c r="X12" i="4" s="1"/>
  <c r="M12" i="4"/>
  <c r="I11" i="4"/>
  <c r="I12" i="4" s="1"/>
  <c r="H11" i="4"/>
  <c r="H12" i="4" s="1"/>
  <c r="G11" i="4"/>
  <c r="G12" i="4" s="1"/>
  <c r="F11" i="4"/>
  <c r="F12" i="4" s="1"/>
  <c r="S12" i="4" s="1"/>
  <c r="E11" i="4"/>
  <c r="E12" i="4" s="1"/>
  <c r="D11" i="4"/>
  <c r="D12" i="4" s="1"/>
  <c r="P12" i="4" s="1"/>
  <c r="C11" i="4"/>
  <c r="C12" i="4" s="1"/>
  <c r="O12" i="4" s="1"/>
  <c r="B11" i="4"/>
  <c r="B12" i="4" s="1"/>
  <c r="Q12" i="4" l="1"/>
  <c r="W12" i="4"/>
  <c r="R12" i="4"/>
  <c r="T11" i="4"/>
  <c r="R11" i="4"/>
  <c r="U11" i="4"/>
  <c r="S11" i="4"/>
  <c r="Q11" i="4"/>
  <c r="P11" i="4"/>
</calcChain>
</file>

<file path=xl/sharedStrings.xml><?xml version="1.0" encoding="utf-8"?>
<sst xmlns="http://schemas.openxmlformats.org/spreadsheetml/2006/main" count="302" uniqueCount="79">
  <si>
    <t>1400 + 250 per 2 km</t>
  </si>
  <si>
    <t>600 + 105 per 2 km</t>
  </si>
  <si>
    <t>1800 + 315 per 2 km</t>
  </si>
  <si>
    <t>1020 per 16 km</t>
  </si>
  <si>
    <t>1190 per 16 km</t>
  </si>
  <si>
    <t>Financial Year</t>
  </si>
  <si>
    <t>General</t>
  </si>
  <si>
    <t>NGO</t>
  </si>
  <si>
    <t>PHC</t>
  </si>
  <si>
    <t>Student</t>
  </si>
  <si>
    <t>Journalist</t>
  </si>
  <si>
    <t>Dialysis</t>
  </si>
  <si>
    <t>Total Passes Sold</t>
  </si>
  <si>
    <t>Total Passes Sold Per Financial Year (In Lakhs)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</si>
  <si>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</si>
  <si>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</si>
  <si>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</si>
  <si>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</si>
  <si>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</si>
  <si>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</si>
  <si>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</si>
  <si>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</si>
  <si>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</si>
  <si>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</si>
  <si>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</si>
  <si>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*</t>
  </si>
  <si>
    <t>**</t>
  </si>
  <si>
    <t>***</t>
  </si>
  <si>
    <t>****</t>
  </si>
  <si>
    <t>Notes</t>
  </si>
  <si>
    <t>* Strike year - there was limited bus service for two months.</t>
  </si>
  <si>
    <t>**COVID year - there was no bus service for six months. there was limited service later.</t>
  </si>
  <si>
    <t>2025-2026
(UptoDec)</t>
  </si>
  <si>
    <t>Data Type</t>
  </si>
  <si>
    <t>Actuals</t>
  </si>
  <si>
    <t>% Change (Yearly)</t>
  </si>
  <si>
    <t>Metro Express Pass</t>
  </si>
  <si>
    <t>Metro Deluxe Pass</t>
  </si>
  <si>
    <t>Green Metro Luxury A/C Pass</t>
  </si>
  <si>
    <t>Pushpak A/C Pass</t>
  </si>
  <si>
    <t>Greater Hyderabad Pass</t>
  </si>
  <si>
    <t>General Ordinary Route Pass (Below 8Km)</t>
  </si>
  <si>
    <t>General Metro Express Route Pass (Below 8Km)</t>
  </si>
  <si>
    <t>State Govt. Employee Ordinary Pass (Ngo)</t>
  </si>
  <si>
    <t>State Govt. Employee Metro Express Pass (Ngo)</t>
  </si>
  <si>
    <t>State Govt. Employee Metro Deluxe Pass (Ngo)</t>
  </si>
  <si>
    <t>Dialysis Patient Pass</t>
  </si>
  <si>
    <t>District Journalist Pass</t>
  </si>
  <si>
    <t>District &amp; State Journalist Pass</t>
  </si>
  <si>
    <t>Free Pass For Children (Below 12 Yrs/Upto 7Th Class)</t>
  </si>
  <si>
    <t>Free Pass Girls (Below 18 Yrs/Upto 10Th Class)</t>
  </si>
  <si>
    <t>Renewal Charges For Ticket</t>
  </si>
  <si>
    <t>Pass Type</t>
  </si>
  <si>
    <t>Sl No</t>
  </si>
  <si>
    <t>***Mahalakshmi scheme introduced in March 2023, Female passengers would have stopped purchasing bus passes.</t>
  </si>
  <si>
    <t>**** FY 2025-2026 data is up to December 2025.</t>
  </si>
  <si>
    <t>PHC City Ordinary Pass</t>
  </si>
  <si>
    <t>Validity</t>
  </si>
  <si>
    <t>Monthly</t>
  </si>
  <si>
    <t>Student General Pass</t>
  </si>
  <si>
    <t>Student Special Pass</t>
  </si>
  <si>
    <t>Student Exclusive Pass</t>
  </si>
  <si>
    <t>Quarterly</t>
  </si>
  <si>
    <t>PHC City Ordinary Escort Pass</t>
  </si>
  <si>
    <t>Academic Year</t>
  </si>
  <si>
    <t>-</t>
  </si>
  <si>
    <t>Student City Route Pass</t>
  </si>
  <si>
    <t>Distance</t>
  </si>
  <si>
    <t>4km</t>
  </si>
  <si>
    <t>8km</t>
  </si>
  <si>
    <t>12km</t>
  </si>
  <si>
    <t>18km</t>
  </si>
  <si>
    <t>22km</t>
  </si>
  <si>
    <t>Student District Route Pass</t>
  </si>
  <si>
    <t>Fare</t>
  </si>
  <si>
    <t>Fresh Pass ID Charges</t>
  </si>
  <si>
    <t>City Ordinary Pass</t>
  </si>
  <si>
    <t>Student Greater Hyderabad Pass</t>
  </si>
  <si>
    <t>Student Exclusive Metro Express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</si>
</sst>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38">
    <xf numFmtId="0" fontId="0" fillId="0" borderId="0" xfId="0"/>
    <xf numFmtId="0" fontId="14" fillId="0" borderId="0" xfId="0" applyFont="1" applyFill="1" applyAlignment="1">
      <alignment horizontal="center" vertical="center" wrapText="1"/>
    </xf>
    <xf numFmtId="1" fontId="14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0" fillId="0" borderId="0" xfId="0" applyFill="1"/>
    <xf numFmtId="0" fontId="14" fillId="0" borderId="3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vertical="center"/>
    </xf>
    <xf numFmtId="1" fontId="14" fillId="0" borderId="2" xfId="0" applyNumberFormat="1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14" fillId="0" borderId="2" xfId="0" applyFont="1" applyFill="1" applyBorder="1" applyAlignment="1">
      <alignment horizontal="center" vertical="center"/>
    </xf>
    <xf numFmtId="10" fontId="0" fillId="0" borderId="2" xfId="0" applyNumberForma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/>
    </xf>
    <xf numFmtId="2" fontId="14" fillId="0" borderId="2" xfId="0" applyNumberFormat="1" applyFont="1" applyFill="1" applyBorder="1" applyAlignment="1">
      <alignment horizontal="center" vertical="center"/>
    </xf>
    <xf numFmtId="1" fontId="14" fillId="0" borderId="4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1" fontId="14" fillId="0" borderId="2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0" fontId="15" fillId="0" borderId="4" xfId="0" applyFont="1" applyFill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Border="1" applyAlignment="1">
      <alignment horizontal="left" vertical="center"/>
    </xf>
  </cellXfs>
  <cellStyles count="20">
    <cellStyle name="Accent" xfId="7" xr:uid="{2CF2ADD3-3FCA-442D-B3B1-D4B6545DA023}"/>
    <cellStyle name="Accent 1" xfId="8" xr:uid="{755A3305-BFFF-42AC-8773-36F875AF7FDD}"/>
    <cellStyle name="Accent 2" xfId="9" xr:uid="{D023C650-5494-4956-8982-6EF7ED2D7BEC}"/>
    <cellStyle name="Accent 3" xfId="10" xr:uid="{CEAC034F-1DEA-41AD-93CA-DD7D6F976511}"/>
    <cellStyle name="Bad" xfId="4" builtinId="27" customBuiltin="1"/>
    <cellStyle name="Default" xfId="11" xr:uid="{AD346850-4C40-4BA6-A4EB-2592D94D04A1}"/>
    <cellStyle name="Error" xfId="12" xr:uid="{CC257D8F-0205-4C3A-A48A-C8E27F88877D}"/>
    <cellStyle name="Footnote" xfId="13" xr:uid="{B748C685-01FD-4A90-86A4-40D236091140}"/>
    <cellStyle name="Good" xfId="3" builtinId="26" customBuiltin="1"/>
    <cellStyle name="Heading" xfId="14" xr:uid="{9B40297C-7D11-4567-8D9C-558C02FB0375}"/>
    <cellStyle name="Heading 1" xfId="1" builtinId="16" customBuiltin="1"/>
    <cellStyle name="Heading 2" xfId="2" builtinId="17" customBuiltin="1"/>
    <cellStyle name="Hyperlink" xfId="15" xr:uid="{F1825A4A-7F7F-4C1B-8FE1-96494D1184EE}"/>
    <cellStyle name="Neutral" xfId="5" builtinId="28" customBuiltin="1"/>
    <cellStyle name="Normal" xfId="0" builtinId="0" customBuiltin="1"/>
    <cellStyle name="Note" xfId="6" builtinId="10" customBuiltin="1"/>
    <cellStyle name="Result" xfId="16" xr:uid="{D432208F-93A9-4C73-9EE0-540191373955}"/>
    <cellStyle name="Status" xfId="17" xr:uid="{073CECE0-F689-442D-B7A8-D9E5CFF94C8C}"/>
    <cellStyle name="Text" xfId="18" xr:uid="{2F0105CC-C6A5-45F7-8AFE-B995555F4211}"/>
    <cellStyle name="Warning" xfId="19" xr:uid="{C6AEDC59-C9AB-455D-AAB9-4B9ED064E0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483D-9903-4EB9-AB3C-C3D9B201C8C9}">
  <dimension ref="A2:I56"/>
  <sheetViews>
    <sheetView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2" sqref="B2:B3"/>
    </sheetView>
  </sheetViews>
  <sheetFormatPr defaultRowHeight="13"/>
  <cols>
    <col min="1" max="1" width="11.6328125" style="29" customWidth="1"/>
    <col min="2" max="2" width="50.6328125" style="30" customWidth="1"/>
    <col min="3" max="7" width="15.6328125" style="29" customWidth="1"/>
    <col min="8" max="8" width="20.6328125" style="29" customWidth="1"/>
    <col min="9" max="9" width="8.7265625" style="29"/>
    <col min="10" max="16384" width="8.7265625" style="30"/>
  </cols>
  <sheetData>
    <row r="2" spans="1:8">
      <c r="A2" s="27" t="s">
        <v>53</v>
      </c>
      <c r="B2" s="27" t="s">
        <v>52</v>
      </c>
      <c r="C2" s="27" t="s">
        <v>57</v>
      </c>
      <c r="D2" s="27" t="s">
        <v>67</v>
      </c>
      <c r="E2" s="28" t="s">
        <v>74</v>
      </c>
      <c r="F2" s="28"/>
      <c r="G2" s="28"/>
      <c r="H2" s="28"/>
    </row>
    <row r="3" spans="1:8">
      <c r="A3" s="31"/>
      <c r="B3" s="31"/>
      <c r="C3" s="31"/>
      <c r="D3" s="31"/>
      <c r="E3" s="32">
        <v>2016</v>
      </c>
      <c r="F3" s="32">
        <v>2019</v>
      </c>
      <c r="G3" s="32">
        <v>2022</v>
      </c>
      <c r="H3" s="32">
        <v>2026</v>
      </c>
    </row>
    <row r="4" spans="1:8">
      <c r="A4" s="33">
        <v>1</v>
      </c>
      <c r="B4" s="34" t="s">
        <v>76</v>
      </c>
      <c r="C4" s="33" t="s">
        <v>58</v>
      </c>
      <c r="D4" s="33" t="s">
        <v>65</v>
      </c>
      <c r="E4" s="35">
        <v>770</v>
      </c>
      <c r="F4" s="35">
        <v>950</v>
      </c>
      <c r="G4" s="35">
        <v>1150</v>
      </c>
      <c r="H4" s="33">
        <v>1400</v>
      </c>
    </row>
    <row r="5" spans="1:8">
      <c r="A5" s="33">
        <v>2</v>
      </c>
      <c r="B5" s="34" t="s">
        <v>36</v>
      </c>
      <c r="C5" s="33" t="s">
        <v>58</v>
      </c>
      <c r="D5" s="33" t="s">
        <v>65</v>
      </c>
      <c r="E5" s="35">
        <v>880</v>
      </c>
      <c r="F5" s="35">
        <v>1070</v>
      </c>
      <c r="G5" s="35">
        <v>1300</v>
      </c>
      <c r="H5" s="33">
        <v>1600</v>
      </c>
    </row>
    <row r="6" spans="1:8">
      <c r="A6" s="32">
        <v>3</v>
      </c>
      <c r="B6" s="34" t="s">
        <v>37</v>
      </c>
      <c r="C6" s="33" t="s">
        <v>58</v>
      </c>
      <c r="D6" s="33" t="s">
        <v>65</v>
      </c>
      <c r="E6" s="35">
        <v>990</v>
      </c>
      <c r="F6" s="35">
        <v>1185</v>
      </c>
      <c r="G6" s="35">
        <v>1450</v>
      </c>
      <c r="H6" s="33">
        <v>1800</v>
      </c>
    </row>
    <row r="7" spans="1:8">
      <c r="A7" s="32">
        <v>4</v>
      </c>
      <c r="B7" s="34" t="s">
        <v>38</v>
      </c>
      <c r="C7" s="33" t="s">
        <v>58</v>
      </c>
      <c r="D7" s="33" t="s">
        <v>65</v>
      </c>
      <c r="E7" s="33" t="s">
        <v>65</v>
      </c>
      <c r="F7" s="33" t="s">
        <v>65</v>
      </c>
      <c r="G7" s="33" t="s">
        <v>65</v>
      </c>
      <c r="H7" s="33">
        <v>2320</v>
      </c>
    </row>
    <row r="8" spans="1:8">
      <c r="A8" s="32">
        <v>5</v>
      </c>
      <c r="B8" s="34" t="s">
        <v>39</v>
      </c>
      <c r="C8" s="33" t="s">
        <v>58</v>
      </c>
      <c r="D8" s="33" t="s">
        <v>65</v>
      </c>
      <c r="E8" s="33" t="s">
        <v>65</v>
      </c>
      <c r="F8" s="33" t="s">
        <v>65</v>
      </c>
      <c r="G8" s="33" t="s">
        <v>65</v>
      </c>
      <c r="H8" s="33">
        <v>5260</v>
      </c>
    </row>
    <row r="9" spans="1:8">
      <c r="A9" s="32">
        <v>6</v>
      </c>
      <c r="B9" s="34" t="s">
        <v>40</v>
      </c>
      <c r="C9" s="33" t="s">
        <v>58</v>
      </c>
      <c r="D9" s="33" t="s">
        <v>65</v>
      </c>
      <c r="E9" s="33" t="s">
        <v>65</v>
      </c>
      <c r="F9" s="33" t="s">
        <v>65</v>
      </c>
      <c r="G9" s="33" t="s">
        <v>65</v>
      </c>
      <c r="H9" s="33" t="s">
        <v>0</v>
      </c>
    </row>
    <row r="10" spans="1:8">
      <c r="A10" s="32">
        <v>7</v>
      </c>
      <c r="B10" s="34" t="s">
        <v>41</v>
      </c>
      <c r="C10" s="33" t="s">
        <v>58</v>
      </c>
      <c r="D10" s="33" t="s">
        <v>65</v>
      </c>
      <c r="E10" s="33" t="s">
        <v>65</v>
      </c>
      <c r="F10" s="33" t="s">
        <v>65</v>
      </c>
      <c r="G10" s="33" t="s">
        <v>65</v>
      </c>
      <c r="H10" s="33">
        <v>800</v>
      </c>
    </row>
    <row r="11" spans="1:8">
      <c r="A11" s="32">
        <v>8</v>
      </c>
      <c r="B11" s="34" t="s">
        <v>42</v>
      </c>
      <c r="C11" s="33" t="s">
        <v>58</v>
      </c>
      <c r="D11" s="33" t="s">
        <v>65</v>
      </c>
      <c r="E11" s="33" t="s">
        <v>65</v>
      </c>
      <c r="F11" s="33" t="s">
        <v>65</v>
      </c>
      <c r="G11" s="33" t="s">
        <v>65</v>
      </c>
      <c r="H11" s="33">
        <v>1200</v>
      </c>
    </row>
    <row r="12" spans="1:8">
      <c r="A12" s="32">
        <v>9</v>
      </c>
      <c r="B12" s="34" t="s">
        <v>43</v>
      </c>
      <c r="C12" s="33" t="s">
        <v>58</v>
      </c>
      <c r="D12" s="33" t="s">
        <v>65</v>
      </c>
      <c r="E12" s="33">
        <v>260</v>
      </c>
      <c r="F12" s="33">
        <v>320</v>
      </c>
      <c r="G12" s="33">
        <v>400</v>
      </c>
      <c r="H12" s="33">
        <v>600</v>
      </c>
    </row>
    <row r="13" spans="1:8">
      <c r="A13" s="32">
        <v>10</v>
      </c>
      <c r="B13" s="34" t="s">
        <v>44</v>
      </c>
      <c r="C13" s="33" t="s">
        <v>58</v>
      </c>
      <c r="D13" s="33" t="s">
        <v>65</v>
      </c>
      <c r="E13" s="33">
        <v>370</v>
      </c>
      <c r="F13" s="33">
        <v>450</v>
      </c>
      <c r="G13" s="33">
        <v>550</v>
      </c>
      <c r="H13" s="33">
        <v>800</v>
      </c>
    </row>
    <row r="14" spans="1:8">
      <c r="A14" s="32">
        <v>11</v>
      </c>
      <c r="B14" s="34" t="s">
        <v>45</v>
      </c>
      <c r="C14" s="33" t="s">
        <v>58</v>
      </c>
      <c r="D14" s="33" t="s">
        <v>65</v>
      </c>
      <c r="E14" s="33">
        <v>480</v>
      </c>
      <c r="F14" s="33">
        <v>575</v>
      </c>
      <c r="G14" s="33">
        <v>700</v>
      </c>
      <c r="H14" s="33">
        <v>1000</v>
      </c>
    </row>
    <row r="15" spans="1:8">
      <c r="A15" s="32">
        <v>12</v>
      </c>
      <c r="B15" s="34" t="s">
        <v>56</v>
      </c>
      <c r="C15" s="33" t="s">
        <v>65</v>
      </c>
      <c r="D15" s="33" t="s">
        <v>65</v>
      </c>
      <c r="E15" s="33" t="s">
        <v>65</v>
      </c>
      <c r="F15" s="33" t="s">
        <v>65</v>
      </c>
      <c r="G15" s="33" t="s">
        <v>65</v>
      </c>
      <c r="H15" s="33">
        <v>0</v>
      </c>
    </row>
    <row r="16" spans="1:8">
      <c r="A16" s="32">
        <v>13</v>
      </c>
      <c r="B16" s="34" t="s">
        <v>63</v>
      </c>
      <c r="C16" s="33" t="s">
        <v>65</v>
      </c>
      <c r="D16" s="33" t="s">
        <v>65</v>
      </c>
      <c r="E16" s="33" t="s">
        <v>65</v>
      </c>
      <c r="F16" s="33" t="s">
        <v>65</v>
      </c>
      <c r="G16" s="33" t="s">
        <v>65</v>
      </c>
      <c r="H16" s="33">
        <v>15</v>
      </c>
    </row>
    <row r="17" spans="1:9">
      <c r="A17" s="32">
        <v>14</v>
      </c>
      <c r="B17" s="34" t="s">
        <v>46</v>
      </c>
      <c r="C17" s="33" t="s">
        <v>58</v>
      </c>
      <c r="D17" s="33" t="s">
        <v>65</v>
      </c>
      <c r="E17" s="33">
        <v>0</v>
      </c>
      <c r="F17" s="33">
        <v>0</v>
      </c>
      <c r="G17" s="33">
        <v>0</v>
      </c>
      <c r="H17" s="33">
        <v>0</v>
      </c>
    </row>
    <row r="18" spans="1:9">
      <c r="A18" s="32">
        <v>15</v>
      </c>
      <c r="B18" s="34" t="s">
        <v>47</v>
      </c>
      <c r="C18" s="33" t="s">
        <v>58</v>
      </c>
      <c r="D18" s="33" t="s">
        <v>65</v>
      </c>
      <c r="E18" s="33">
        <v>0</v>
      </c>
      <c r="F18" s="33">
        <v>0</v>
      </c>
      <c r="G18" s="33">
        <v>0</v>
      </c>
      <c r="H18" s="33">
        <v>0</v>
      </c>
    </row>
    <row r="19" spans="1:9">
      <c r="A19" s="32">
        <v>16</v>
      </c>
      <c r="B19" s="34" t="s">
        <v>48</v>
      </c>
      <c r="C19" s="33" t="s">
        <v>58</v>
      </c>
      <c r="D19" s="33" t="s">
        <v>65</v>
      </c>
      <c r="E19" s="33">
        <v>0</v>
      </c>
      <c r="F19" s="33">
        <v>0</v>
      </c>
      <c r="G19" s="33">
        <v>0</v>
      </c>
      <c r="H19" s="33">
        <v>0</v>
      </c>
    </row>
    <row r="20" spans="1:9">
      <c r="A20" s="32">
        <v>17</v>
      </c>
      <c r="B20" s="34" t="s">
        <v>59</v>
      </c>
      <c r="C20" s="33" t="s">
        <v>58</v>
      </c>
      <c r="D20" s="33" t="s">
        <v>65</v>
      </c>
      <c r="E20" s="33">
        <v>130</v>
      </c>
      <c r="F20" s="33">
        <v>165</v>
      </c>
      <c r="G20" s="33">
        <v>400</v>
      </c>
      <c r="H20" s="33">
        <v>600</v>
      </c>
    </row>
    <row r="21" spans="1:9">
      <c r="A21" s="32">
        <v>18</v>
      </c>
      <c r="B21" s="34" t="s">
        <v>59</v>
      </c>
      <c r="C21" s="33" t="s">
        <v>62</v>
      </c>
      <c r="D21" s="33" t="s">
        <v>65</v>
      </c>
      <c r="E21" s="33">
        <v>390</v>
      </c>
      <c r="F21" s="33">
        <v>495</v>
      </c>
      <c r="G21" s="33">
        <v>1200</v>
      </c>
      <c r="H21" s="33">
        <v>1800</v>
      </c>
    </row>
    <row r="22" spans="1:9">
      <c r="A22" s="32">
        <v>19</v>
      </c>
      <c r="B22" s="34" t="s">
        <v>77</v>
      </c>
      <c r="C22" s="33" t="s">
        <v>58</v>
      </c>
      <c r="D22" s="33" t="s">
        <v>65</v>
      </c>
      <c r="E22" s="33" t="s">
        <v>65</v>
      </c>
      <c r="F22" s="33" t="s">
        <v>65</v>
      </c>
      <c r="G22" s="33" t="s">
        <v>65</v>
      </c>
      <c r="H22" s="33" t="s">
        <v>1</v>
      </c>
    </row>
    <row r="23" spans="1:9">
      <c r="A23" s="32">
        <v>20</v>
      </c>
      <c r="B23" s="34" t="s">
        <v>77</v>
      </c>
      <c r="C23" s="33" t="s">
        <v>62</v>
      </c>
      <c r="D23" s="33" t="s">
        <v>65</v>
      </c>
      <c r="E23" s="33" t="s">
        <v>65</v>
      </c>
      <c r="F23" s="33" t="s">
        <v>65</v>
      </c>
      <c r="G23" s="33" t="s">
        <v>65</v>
      </c>
      <c r="H23" s="33" t="s">
        <v>2</v>
      </c>
    </row>
    <row r="24" spans="1:9">
      <c r="A24" s="32">
        <v>21</v>
      </c>
      <c r="B24" s="34" t="s">
        <v>60</v>
      </c>
      <c r="C24" s="33" t="s">
        <v>58</v>
      </c>
      <c r="D24" s="33" t="s">
        <v>65</v>
      </c>
      <c r="E24" s="33" t="s">
        <v>65</v>
      </c>
      <c r="F24" s="33" t="s">
        <v>65</v>
      </c>
      <c r="G24" s="33" t="s">
        <v>65</v>
      </c>
      <c r="H24" s="33">
        <v>650</v>
      </c>
    </row>
    <row r="25" spans="1:9">
      <c r="A25" s="32">
        <v>22</v>
      </c>
      <c r="B25" s="34" t="s">
        <v>60</v>
      </c>
      <c r="C25" s="33" t="s">
        <v>62</v>
      </c>
      <c r="D25" s="33" t="s">
        <v>65</v>
      </c>
      <c r="E25" s="33" t="s">
        <v>65</v>
      </c>
      <c r="F25" s="33" t="s">
        <v>65</v>
      </c>
      <c r="G25" s="33" t="s">
        <v>65</v>
      </c>
      <c r="H25" s="33">
        <v>1950</v>
      </c>
    </row>
    <row r="26" spans="1:9">
      <c r="A26" s="32">
        <v>23</v>
      </c>
      <c r="B26" s="34" t="s">
        <v>61</v>
      </c>
      <c r="C26" s="33" t="s">
        <v>58</v>
      </c>
      <c r="D26" s="33" t="s">
        <v>65</v>
      </c>
      <c r="E26" s="33" t="s">
        <v>65</v>
      </c>
      <c r="F26" s="33" t="s">
        <v>65</v>
      </c>
      <c r="G26" s="33" t="s">
        <v>65</v>
      </c>
      <c r="H26" s="33" t="s">
        <v>3</v>
      </c>
    </row>
    <row r="27" spans="1:9">
      <c r="A27" s="32">
        <v>24</v>
      </c>
      <c r="B27" s="34" t="s">
        <v>78</v>
      </c>
      <c r="C27" s="33" t="s">
        <v>58</v>
      </c>
      <c r="D27" s="33" t="s">
        <v>65</v>
      </c>
      <c r="E27" s="33" t="s">
        <v>65</v>
      </c>
      <c r="F27" s="33" t="s">
        <v>65</v>
      </c>
      <c r="G27" s="33" t="s">
        <v>65</v>
      </c>
      <c r="H27" s="33" t="s">
        <v>4</v>
      </c>
    </row>
    <row r="28" spans="1:9">
      <c r="A28" s="32">
        <v>25</v>
      </c>
      <c r="B28" s="34" t="s">
        <v>66</v>
      </c>
      <c r="C28" s="33" t="s">
        <v>58</v>
      </c>
      <c r="D28" s="33" t="s">
        <v>68</v>
      </c>
      <c r="E28" s="33" t="s">
        <v>65</v>
      </c>
      <c r="F28" s="33" t="s">
        <v>65</v>
      </c>
      <c r="G28" s="33" t="s">
        <v>65</v>
      </c>
      <c r="H28" s="33">
        <v>225</v>
      </c>
      <c r="I28" s="36"/>
    </row>
    <row r="29" spans="1:9">
      <c r="A29" s="32">
        <v>26</v>
      </c>
      <c r="B29" s="34" t="s">
        <v>66</v>
      </c>
      <c r="C29" s="33" t="s">
        <v>58</v>
      </c>
      <c r="D29" s="33" t="s">
        <v>69</v>
      </c>
      <c r="E29" s="33" t="s">
        <v>65</v>
      </c>
      <c r="F29" s="33" t="s">
        <v>65</v>
      </c>
      <c r="G29" s="33" t="s">
        <v>65</v>
      </c>
      <c r="H29" s="33">
        <v>300</v>
      </c>
    </row>
    <row r="30" spans="1:9">
      <c r="A30" s="32">
        <v>27</v>
      </c>
      <c r="B30" s="34" t="s">
        <v>66</v>
      </c>
      <c r="C30" s="33" t="s">
        <v>58</v>
      </c>
      <c r="D30" s="33" t="s">
        <v>70</v>
      </c>
      <c r="E30" s="33" t="s">
        <v>65</v>
      </c>
      <c r="F30" s="33" t="s">
        <v>65</v>
      </c>
      <c r="G30" s="33" t="s">
        <v>65</v>
      </c>
      <c r="H30" s="33">
        <v>450</v>
      </c>
    </row>
    <row r="31" spans="1:9">
      <c r="A31" s="32">
        <v>28</v>
      </c>
      <c r="B31" s="34" t="s">
        <v>66</v>
      </c>
      <c r="C31" s="33" t="s">
        <v>58</v>
      </c>
      <c r="D31" s="33" t="s">
        <v>71</v>
      </c>
      <c r="E31" s="33" t="s">
        <v>65</v>
      </c>
      <c r="F31" s="33" t="s">
        <v>65</v>
      </c>
      <c r="G31" s="33" t="s">
        <v>65</v>
      </c>
      <c r="H31" s="33">
        <v>585</v>
      </c>
    </row>
    <row r="32" spans="1:9">
      <c r="A32" s="32">
        <v>29</v>
      </c>
      <c r="B32" s="34" t="s">
        <v>66</v>
      </c>
      <c r="C32" s="33" t="s">
        <v>58</v>
      </c>
      <c r="D32" s="33" t="s">
        <v>72</v>
      </c>
      <c r="E32" s="33" t="s">
        <v>65</v>
      </c>
      <c r="F32" s="33" t="s">
        <v>65</v>
      </c>
      <c r="G32" s="33" t="s">
        <v>65</v>
      </c>
      <c r="H32" s="33">
        <v>675</v>
      </c>
    </row>
    <row r="33" spans="1:9">
      <c r="A33" s="32">
        <v>30</v>
      </c>
      <c r="B33" s="34" t="s">
        <v>66</v>
      </c>
      <c r="C33" s="33" t="s">
        <v>62</v>
      </c>
      <c r="D33" s="33" t="s">
        <v>68</v>
      </c>
      <c r="E33" s="33">
        <v>130</v>
      </c>
      <c r="F33" s="33">
        <v>165</v>
      </c>
      <c r="G33" s="33">
        <v>450</v>
      </c>
      <c r="H33" s="33">
        <v>675</v>
      </c>
    </row>
    <row r="34" spans="1:9">
      <c r="A34" s="32">
        <v>31</v>
      </c>
      <c r="B34" s="34" t="s">
        <v>66</v>
      </c>
      <c r="C34" s="33" t="s">
        <v>62</v>
      </c>
      <c r="D34" s="33" t="s">
        <v>69</v>
      </c>
      <c r="E34" s="33">
        <v>160</v>
      </c>
      <c r="F34" s="33">
        <v>200</v>
      </c>
      <c r="G34" s="33">
        <v>600</v>
      </c>
      <c r="H34" s="33">
        <v>900</v>
      </c>
    </row>
    <row r="35" spans="1:9">
      <c r="A35" s="32">
        <v>32</v>
      </c>
      <c r="B35" s="34" t="s">
        <v>66</v>
      </c>
      <c r="C35" s="33" t="s">
        <v>62</v>
      </c>
      <c r="D35" s="33" t="s">
        <v>70</v>
      </c>
      <c r="E35" s="33">
        <v>195</v>
      </c>
      <c r="F35" s="33">
        <v>245</v>
      </c>
      <c r="G35" s="33">
        <v>900</v>
      </c>
      <c r="H35" s="33">
        <v>1350</v>
      </c>
    </row>
    <row r="36" spans="1:9">
      <c r="A36" s="32">
        <v>33</v>
      </c>
      <c r="B36" s="34" t="s">
        <v>66</v>
      </c>
      <c r="C36" s="33" t="s">
        <v>62</v>
      </c>
      <c r="D36" s="33" t="s">
        <v>71</v>
      </c>
      <c r="E36" s="33">
        <v>225</v>
      </c>
      <c r="F36" s="33">
        <v>280</v>
      </c>
      <c r="G36" s="33">
        <v>1150</v>
      </c>
      <c r="H36" s="33">
        <v>1725</v>
      </c>
    </row>
    <row r="37" spans="1:9">
      <c r="A37" s="32">
        <v>34</v>
      </c>
      <c r="B37" s="34" t="s">
        <v>66</v>
      </c>
      <c r="C37" s="33" t="s">
        <v>62</v>
      </c>
      <c r="D37" s="33" t="s">
        <v>72</v>
      </c>
      <c r="E37" s="33">
        <v>265</v>
      </c>
      <c r="F37" s="33">
        <v>330</v>
      </c>
      <c r="G37" s="33">
        <v>1350</v>
      </c>
      <c r="H37" s="33">
        <v>2025</v>
      </c>
    </row>
    <row r="38" spans="1:9">
      <c r="A38" s="32">
        <v>35</v>
      </c>
      <c r="B38" s="34" t="s">
        <v>73</v>
      </c>
      <c r="C38" s="33" t="s">
        <v>58</v>
      </c>
      <c r="D38" s="33">
        <v>5</v>
      </c>
      <c r="E38" s="33" t="s">
        <v>65</v>
      </c>
      <c r="F38" s="33" t="s">
        <v>65</v>
      </c>
      <c r="G38" s="33" t="s">
        <v>65</v>
      </c>
      <c r="H38" s="33">
        <v>225</v>
      </c>
      <c r="I38" s="36"/>
    </row>
    <row r="39" spans="1:9">
      <c r="A39" s="32">
        <v>36</v>
      </c>
      <c r="B39" s="34" t="s">
        <v>73</v>
      </c>
      <c r="C39" s="33" t="s">
        <v>58</v>
      </c>
      <c r="D39" s="33">
        <v>10</v>
      </c>
      <c r="E39" s="33" t="s">
        <v>65</v>
      </c>
      <c r="F39" s="33" t="s">
        <v>65</v>
      </c>
      <c r="G39" s="33" t="s">
        <v>65</v>
      </c>
      <c r="H39" s="33">
        <v>375</v>
      </c>
    </row>
    <row r="40" spans="1:9">
      <c r="A40" s="32">
        <v>37</v>
      </c>
      <c r="B40" s="34" t="s">
        <v>73</v>
      </c>
      <c r="C40" s="33" t="s">
        <v>58</v>
      </c>
      <c r="D40" s="33">
        <v>15</v>
      </c>
      <c r="E40" s="33" t="s">
        <v>65</v>
      </c>
      <c r="F40" s="33" t="s">
        <v>65</v>
      </c>
      <c r="G40" s="33" t="s">
        <v>65</v>
      </c>
      <c r="H40" s="33">
        <v>450</v>
      </c>
    </row>
    <row r="41" spans="1:9">
      <c r="A41" s="32">
        <v>38</v>
      </c>
      <c r="B41" s="34" t="s">
        <v>73</v>
      </c>
      <c r="C41" s="33" t="s">
        <v>58</v>
      </c>
      <c r="D41" s="33">
        <v>20</v>
      </c>
      <c r="E41" s="33" t="s">
        <v>65</v>
      </c>
      <c r="F41" s="33" t="s">
        <v>65</v>
      </c>
      <c r="G41" s="33" t="s">
        <v>65</v>
      </c>
      <c r="H41" s="33">
        <v>600</v>
      </c>
    </row>
    <row r="42" spans="1:9">
      <c r="A42" s="32">
        <v>39</v>
      </c>
      <c r="B42" s="34" t="s">
        <v>73</v>
      </c>
      <c r="C42" s="33" t="s">
        <v>58</v>
      </c>
      <c r="D42" s="33">
        <v>25</v>
      </c>
      <c r="E42" s="33" t="s">
        <v>65</v>
      </c>
      <c r="F42" s="33" t="s">
        <v>65</v>
      </c>
      <c r="G42" s="33" t="s">
        <v>65</v>
      </c>
      <c r="H42" s="33">
        <v>675</v>
      </c>
    </row>
    <row r="43" spans="1:9">
      <c r="A43" s="32">
        <v>40</v>
      </c>
      <c r="B43" s="34" t="s">
        <v>73</v>
      </c>
      <c r="C43" s="33" t="s">
        <v>58</v>
      </c>
      <c r="D43" s="33">
        <v>30</v>
      </c>
      <c r="E43" s="33" t="s">
        <v>65</v>
      </c>
      <c r="F43" s="33" t="s">
        <v>65</v>
      </c>
      <c r="G43" s="33" t="s">
        <v>65</v>
      </c>
      <c r="H43" s="33">
        <v>750</v>
      </c>
    </row>
    <row r="44" spans="1:9">
      <c r="A44" s="32">
        <v>41</v>
      </c>
      <c r="B44" s="34" t="s">
        <v>73</v>
      </c>
      <c r="C44" s="33" t="s">
        <v>58</v>
      </c>
      <c r="D44" s="33">
        <v>35</v>
      </c>
      <c r="E44" s="33" t="s">
        <v>65</v>
      </c>
      <c r="F44" s="33" t="s">
        <v>65</v>
      </c>
      <c r="G44" s="33" t="s">
        <v>65</v>
      </c>
      <c r="H44" s="33">
        <v>825</v>
      </c>
    </row>
    <row r="45" spans="1:9">
      <c r="A45" s="32">
        <v>42</v>
      </c>
      <c r="B45" s="34" t="s">
        <v>73</v>
      </c>
      <c r="C45" s="33" t="s">
        <v>62</v>
      </c>
      <c r="D45" s="33">
        <v>5</v>
      </c>
      <c r="E45" s="33" t="s">
        <v>65</v>
      </c>
      <c r="F45" s="33" t="s">
        <v>65</v>
      </c>
      <c r="G45" s="33" t="s">
        <v>65</v>
      </c>
      <c r="H45" s="33">
        <v>600</v>
      </c>
      <c r="I45" s="36"/>
    </row>
    <row r="46" spans="1:9">
      <c r="A46" s="32">
        <v>43</v>
      </c>
      <c r="B46" s="34" t="s">
        <v>73</v>
      </c>
      <c r="C46" s="33" t="s">
        <v>62</v>
      </c>
      <c r="D46" s="33">
        <v>10</v>
      </c>
      <c r="E46" s="33" t="s">
        <v>65</v>
      </c>
      <c r="F46" s="33" t="s">
        <v>65</v>
      </c>
      <c r="G46" s="33" t="s">
        <v>65</v>
      </c>
      <c r="H46" s="33">
        <v>1020</v>
      </c>
    </row>
    <row r="47" spans="1:9">
      <c r="A47" s="32">
        <v>44</v>
      </c>
      <c r="B47" s="34" t="s">
        <v>73</v>
      </c>
      <c r="C47" s="33" t="s">
        <v>62</v>
      </c>
      <c r="D47" s="33">
        <v>15</v>
      </c>
      <c r="E47" s="33" t="s">
        <v>65</v>
      </c>
      <c r="F47" s="33" t="s">
        <v>65</v>
      </c>
      <c r="G47" s="33" t="s">
        <v>65</v>
      </c>
      <c r="H47" s="33">
        <v>1350</v>
      </c>
    </row>
    <row r="48" spans="1:9">
      <c r="A48" s="32">
        <v>45</v>
      </c>
      <c r="B48" s="34" t="s">
        <v>73</v>
      </c>
      <c r="C48" s="33" t="s">
        <v>62</v>
      </c>
      <c r="D48" s="33">
        <v>20</v>
      </c>
      <c r="E48" s="33" t="s">
        <v>65</v>
      </c>
      <c r="F48" s="33" t="s">
        <v>65</v>
      </c>
      <c r="G48" s="33" t="s">
        <v>65</v>
      </c>
      <c r="H48" s="33">
        <v>1725</v>
      </c>
    </row>
    <row r="49" spans="1:8">
      <c r="A49" s="32">
        <v>46</v>
      </c>
      <c r="B49" s="34" t="s">
        <v>73</v>
      </c>
      <c r="C49" s="33" t="s">
        <v>62</v>
      </c>
      <c r="D49" s="33">
        <v>25</v>
      </c>
      <c r="E49" s="33" t="s">
        <v>65</v>
      </c>
      <c r="F49" s="33" t="s">
        <v>65</v>
      </c>
      <c r="G49" s="33" t="s">
        <v>65</v>
      </c>
      <c r="H49" s="33">
        <v>2025</v>
      </c>
    </row>
    <row r="50" spans="1:8">
      <c r="A50" s="32">
        <v>47</v>
      </c>
      <c r="B50" s="34" t="s">
        <v>73</v>
      </c>
      <c r="C50" s="33" t="s">
        <v>62</v>
      </c>
      <c r="D50" s="33">
        <v>30</v>
      </c>
      <c r="E50" s="33" t="s">
        <v>65</v>
      </c>
      <c r="F50" s="33" t="s">
        <v>65</v>
      </c>
      <c r="G50" s="33" t="s">
        <v>65</v>
      </c>
      <c r="H50" s="33">
        <v>2250</v>
      </c>
    </row>
    <row r="51" spans="1:8">
      <c r="A51" s="32">
        <v>48</v>
      </c>
      <c r="B51" s="34" t="s">
        <v>73</v>
      </c>
      <c r="C51" s="33" t="s">
        <v>62</v>
      </c>
      <c r="D51" s="33">
        <v>35</v>
      </c>
      <c r="E51" s="33" t="s">
        <v>65</v>
      </c>
      <c r="F51" s="33" t="s">
        <v>65</v>
      </c>
      <c r="G51" s="33" t="s">
        <v>65</v>
      </c>
      <c r="H51" s="33">
        <v>2400</v>
      </c>
    </row>
    <row r="52" spans="1:8">
      <c r="A52" s="32">
        <v>49</v>
      </c>
      <c r="B52" s="34" t="s">
        <v>49</v>
      </c>
      <c r="C52" s="33" t="s">
        <v>64</v>
      </c>
      <c r="D52" s="33" t="s">
        <v>65</v>
      </c>
      <c r="E52" s="33">
        <v>0</v>
      </c>
      <c r="F52" s="33">
        <v>0</v>
      </c>
      <c r="G52" s="33">
        <v>0</v>
      </c>
      <c r="H52" s="33">
        <v>0</v>
      </c>
    </row>
    <row r="53" spans="1:8">
      <c r="A53" s="32">
        <v>50</v>
      </c>
      <c r="B53" s="34" t="s">
        <v>50</v>
      </c>
      <c r="C53" s="33" t="s">
        <v>64</v>
      </c>
      <c r="D53" s="33" t="s">
        <v>65</v>
      </c>
      <c r="E53" s="33">
        <v>0</v>
      </c>
      <c r="F53" s="33">
        <v>0</v>
      </c>
      <c r="G53" s="33">
        <v>0</v>
      </c>
      <c r="H53" s="33">
        <v>0</v>
      </c>
    </row>
    <row r="54" spans="1:8">
      <c r="A54" s="32"/>
      <c r="B54" s="37"/>
      <c r="C54" s="32"/>
      <c r="D54" s="32"/>
      <c r="E54" s="32"/>
      <c r="F54" s="32"/>
      <c r="G54" s="32"/>
      <c r="H54" s="32"/>
    </row>
    <row r="55" spans="1:8">
      <c r="A55" s="32">
        <v>51</v>
      </c>
      <c r="B55" s="34" t="s">
        <v>75</v>
      </c>
      <c r="C55" s="33" t="s">
        <v>65</v>
      </c>
      <c r="D55" s="33" t="s">
        <v>65</v>
      </c>
      <c r="E55" s="33" t="s">
        <v>65</v>
      </c>
      <c r="F55" s="33" t="s">
        <v>65</v>
      </c>
      <c r="G55" s="33" t="s">
        <v>65</v>
      </c>
      <c r="H55" s="33">
        <v>50</v>
      </c>
    </row>
    <row r="56" spans="1:8">
      <c r="A56" s="32">
        <v>52</v>
      </c>
      <c r="B56" s="34" t="s">
        <v>51</v>
      </c>
      <c r="C56" s="33" t="s">
        <v>65</v>
      </c>
      <c r="D56" s="33" t="s">
        <v>65</v>
      </c>
      <c r="E56" s="33" t="s">
        <v>65</v>
      </c>
      <c r="F56" s="33" t="s">
        <v>65</v>
      </c>
      <c r="G56" s="33" t="s">
        <v>65</v>
      </c>
      <c r="H56" s="33">
        <v>30</v>
      </c>
    </row>
  </sheetData>
  <mergeCells count="5">
    <mergeCell ref="E2:H2"/>
    <mergeCell ref="D2:D3"/>
    <mergeCell ref="C2:C3"/>
    <mergeCell ref="B2:B3"/>
    <mergeCell ref="A2:A3"/>
  </mergeCells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683-0BDF-4B1B-AFF2-1B39B39A9260}">
  <dimension ref="A2:X1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3"/>
  <cols>
    <col min="1" max="1" width="13.7265625" style="4" bestFit="1" customWidth="1"/>
    <col min="2" max="9" width="8.7265625" style="4"/>
    <col min="10" max="10" width="8.7265625" style="3"/>
    <col min="11" max="13" width="8.7265625" style="4"/>
    <col min="14" max="14" width="3.1796875" style="4" customWidth="1"/>
    <col min="15" max="16384" width="8.7265625" style="4"/>
  </cols>
  <sheetData>
    <row r="2" spans="1:24" ht="13" customHeight="1">
      <c r="A2" s="11" t="s">
        <v>33</v>
      </c>
      <c r="B2" s="12" t="s">
        <v>34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O2" s="12" t="s">
        <v>35</v>
      </c>
      <c r="P2" s="12"/>
      <c r="Q2" s="12"/>
      <c r="R2" s="12"/>
      <c r="S2" s="12"/>
      <c r="T2" s="12"/>
      <c r="U2" s="12"/>
      <c r="V2" s="12"/>
      <c r="W2" s="12"/>
      <c r="X2" s="12"/>
    </row>
    <row r="4" spans="1:24" s="14" customFormat="1" ht="26">
      <c r="A4" s="13" t="s">
        <v>5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  <c r="K4" s="13" t="s">
        <v>23</v>
      </c>
      <c r="L4" s="13" t="s">
        <v>24</v>
      </c>
      <c r="M4" s="13" t="s">
        <v>32</v>
      </c>
      <c r="O4" s="13" t="s">
        <v>15</v>
      </c>
      <c r="P4" s="13" t="s">
        <v>16</v>
      </c>
      <c r="Q4" s="13" t="s">
        <v>17</v>
      </c>
      <c r="R4" s="13" t="s">
        <v>18</v>
      </c>
      <c r="S4" s="13" t="s">
        <v>19</v>
      </c>
      <c r="T4" s="13" t="s">
        <v>20</v>
      </c>
      <c r="U4" s="13" t="s">
        <v>21</v>
      </c>
      <c r="V4" s="13" t="s">
        <v>22</v>
      </c>
      <c r="W4" s="13" t="s">
        <v>23</v>
      </c>
      <c r="X4" s="13" t="s">
        <v>24</v>
      </c>
    </row>
    <row r="5" spans="1:24">
      <c r="A5" s="15" t="s">
        <v>6</v>
      </c>
      <c r="B5" s="15">
        <v>2478549</v>
      </c>
      <c r="C5" s="15">
        <v>2355967</v>
      </c>
      <c r="D5" s="15">
        <v>2360126</v>
      </c>
      <c r="E5" s="15">
        <v>2259271</v>
      </c>
      <c r="F5" s="15">
        <v>2098367</v>
      </c>
      <c r="G5" s="15">
        <v>1623939</v>
      </c>
      <c r="H5" s="15">
        <v>318652</v>
      </c>
      <c r="I5" s="15">
        <v>935312</v>
      </c>
      <c r="J5" s="15">
        <v>1616464</v>
      </c>
      <c r="K5" s="15">
        <v>1539307</v>
      </c>
      <c r="L5" s="15">
        <v>957164</v>
      </c>
      <c r="M5" s="15">
        <v>651753</v>
      </c>
      <c r="O5" s="16">
        <f>(C5-B5)/(C5+B5)</f>
        <v>-2.5355588853155104E-2</v>
      </c>
      <c r="P5" s="16">
        <f t="shared" ref="P5:X5" si="0">(D5-C5)/(D5+C5)</f>
        <v>8.8187404277226928E-4</v>
      </c>
      <c r="Q5" s="16">
        <f t="shared" si="0"/>
        <v>-2.1832936203578086E-2</v>
      </c>
      <c r="R5" s="16">
        <f t="shared" si="0"/>
        <v>-3.6924590798960356E-2</v>
      </c>
      <c r="S5" s="16">
        <f>(G5-F5)/(G5+F5)</f>
        <v>-0.12745539995905764</v>
      </c>
      <c r="T5" s="16">
        <f>(H5-G5)/(H5+G5)</f>
        <v>-0.67193094171650136</v>
      </c>
      <c r="U5" s="16">
        <f t="shared" si="0"/>
        <v>0.49176850372099995</v>
      </c>
      <c r="V5" s="16">
        <f t="shared" si="0"/>
        <v>0.26693252072282209</v>
      </c>
      <c r="W5" s="16">
        <f t="shared" si="0"/>
        <v>-2.4449492691326461E-2</v>
      </c>
      <c r="X5" s="16">
        <f t="shared" si="0"/>
        <v>-0.23318636587406782</v>
      </c>
    </row>
    <row r="6" spans="1:24">
      <c r="A6" s="17" t="s">
        <v>7</v>
      </c>
      <c r="B6" s="17">
        <v>233942</v>
      </c>
      <c r="C6" s="17">
        <v>195672</v>
      </c>
      <c r="D6" s="17">
        <v>154062</v>
      </c>
      <c r="E6" s="17">
        <v>116703</v>
      </c>
      <c r="F6" s="17">
        <v>106274</v>
      </c>
      <c r="G6" s="17">
        <v>87519</v>
      </c>
      <c r="H6" s="17">
        <v>22722</v>
      </c>
      <c r="I6" s="17">
        <v>53916</v>
      </c>
      <c r="J6" s="17">
        <v>51120</v>
      </c>
      <c r="K6" s="17">
        <v>40052</v>
      </c>
      <c r="L6" s="17">
        <v>19027</v>
      </c>
      <c r="M6" s="17">
        <v>14035</v>
      </c>
      <c r="O6" s="16">
        <f t="shared" ref="O6:O12" si="1">(C6-B6)/(C6+B6)</f>
        <v>-8.907996480561621E-2</v>
      </c>
      <c r="P6" s="16">
        <f t="shared" ref="P6:P12" si="2">(D6-C6)/(D6+C6)</f>
        <v>-0.11897613614918767</v>
      </c>
      <c r="Q6" s="16">
        <f t="shared" ref="Q6:Q12" si="3">(E6-D6)/(E6+D6)</f>
        <v>-0.13797573541632044</v>
      </c>
      <c r="R6" s="16">
        <f t="shared" ref="R6:R12" si="4">(F6-E6)/(F6+E6)</f>
        <v>-4.6771640124317754E-2</v>
      </c>
      <c r="S6" s="16">
        <f>(G6-F6)/(G6+F6)</f>
        <v>-9.6778521412022103E-2</v>
      </c>
      <c r="T6" s="16">
        <f>(H6-G6)/(H6+G6)</f>
        <v>-0.58777587286036959</v>
      </c>
      <c r="U6" s="16">
        <f t="shared" ref="U6:U12" si="5">(I6-H6)/(I6+H6)</f>
        <v>0.40703045486573242</v>
      </c>
      <c r="V6" s="16">
        <f t="shared" ref="V6:V12" si="6">(J6-I6)/(J6+I6)</f>
        <v>-2.6619444761795955E-2</v>
      </c>
      <c r="W6" s="16">
        <f t="shared" ref="W6:W12" si="7">(K6-J6)/(K6+J6)</f>
        <v>-0.12139692010705042</v>
      </c>
      <c r="X6" s="16">
        <f t="shared" ref="X6:X12" si="8">(L6-K6)/(L6+K6)</f>
        <v>-0.35587941569762521</v>
      </c>
    </row>
    <row r="7" spans="1:24">
      <c r="A7" s="15" t="s">
        <v>8</v>
      </c>
      <c r="B7" s="15">
        <v>52425</v>
      </c>
      <c r="C7" s="15">
        <v>50202</v>
      </c>
      <c r="D7" s="15">
        <v>47009</v>
      </c>
      <c r="E7" s="15">
        <v>46312</v>
      </c>
      <c r="F7" s="15">
        <v>48136</v>
      </c>
      <c r="G7" s="15">
        <v>46321</v>
      </c>
      <c r="H7" s="15">
        <v>23232</v>
      </c>
      <c r="I7" s="15">
        <v>28764</v>
      </c>
      <c r="J7" s="15">
        <v>34992</v>
      </c>
      <c r="K7" s="15">
        <v>40552</v>
      </c>
      <c r="L7" s="15">
        <v>33324</v>
      </c>
      <c r="M7" s="15">
        <v>21084</v>
      </c>
      <c r="O7" s="16">
        <f t="shared" si="1"/>
        <v>-2.1660966412347629E-2</v>
      </c>
      <c r="P7" s="16">
        <f t="shared" si="2"/>
        <v>-3.2846077090041254E-2</v>
      </c>
      <c r="Q7" s="16">
        <f t="shared" si="3"/>
        <v>-7.4688440972557092E-3</v>
      </c>
      <c r="R7" s="16">
        <f t="shared" si="4"/>
        <v>1.9312214128409284E-2</v>
      </c>
      <c r="S7" s="16">
        <f>(G7-F7)/(G7+F7)</f>
        <v>-1.9215092581809711E-2</v>
      </c>
      <c r="T7" s="16">
        <f>(H7-G7)/(H7+G7)</f>
        <v>-0.33196267594496282</v>
      </c>
      <c r="U7" s="16">
        <f t="shared" si="5"/>
        <v>0.10639279944611124</v>
      </c>
      <c r="V7" s="16">
        <f t="shared" si="6"/>
        <v>9.7684923771880289E-2</v>
      </c>
      <c r="W7" s="16">
        <f t="shared" si="7"/>
        <v>7.3599491686963892E-2</v>
      </c>
      <c r="X7" s="16">
        <f t="shared" si="8"/>
        <v>-9.7839623152309277E-2</v>
      </c>
    </row>
    <row r="8" spans="1:24">
      <c r="A8" s="17" t="s">
        <v>9</v>
      </c>
      <c r="B8" s="17">
        <v>1682938</v>
      </c>
      <c r="C8" s="17">
        <v>1561695</v>
      </c>
      <c r="D8" s="17">
        <v>1438275</v>
      </c>
      <c r="E8" s="17">
        <v>1409375</v>
      </c>
      <c r="F8" s="17">
        <v>1383485</v>
      </c>
      <c r="G8" s="17">
        <v>1235192</v>
      </c>
      <c r="H8" s="17">
        <v>303470</v>
      </c>
      <c r="I8" s="17">
        <v>1388658</v>
      </c>
      <c r="J8" s="17">
        <v>2098500</v>
      </c>
      <c r="K8" s="17">
        <v>1491544</v>
      </c>
      <c r="L8" s="17">
        <v>813245</v>
      </c>
      <c r="M8" s="17">
        <v>553140</v>
      </c>
      <c r="O8" s="16">
        <f t="shared" si="1"/>
        <v>-3.736724615696136E-2</v>
      </c>
      <c r="P8" s="16">
        <f t="shared" si="2"/>
        <v>-4.1140411404114043E-2</v>
      </c>
      <c r="Q8" s="16">
        <f t="shared" si="3"/>
        <v>-1.0148719119273788E-2</v>
      </c>
      <c r="R8" s="16">
        <f t="shared" si="4"/>
        <v>-9.2700672428979621E-3</v>
      </c>
      <c r="S8" s="16">
        <f>(G8-F8)/(G8+F8)</f>
        <v>-5.6628977151439448E-2</v>
      </c>
      <c r="T8" s="16">
        <f>(H8-G8)/(H8+G8)</f>
        <v>-0.60554039808612936</v>
      </c>
      <c r="U8" s="16">
        <f t="shared" si="5"/>
        <v>0.64131555059664513</v>
      </c>
      <c r="V8" s="16">
        <f t="shared" si="6"/>
        <v>0.2035588866349044</v>
      </c>
      <c r="W8" s="16">
        <f t="shared" si="7"/>
        <v>-0.16906645155324002</v>
      </c>
      <c r="X8" s="16">
        <f t="shared" si="8"/>
        <v>-0.29429982527684745</v>
      </c>
    </row>
    <row r="9" spans="1:24">
      <c r="A9" s="15" t="s">
        <v>10</v>
      </c>
      <c r="B9" s="15">
        <v>0</v>
      </c>
      <c r="C9" s="15">
        <v>0</v>
      </c>
      <c r="D9" s="15">
        <v>0</v>
      </c>
      <c r="E9" s="15">
        <v>0</v>
      </c>
      <c r="F9" s="15">
        <v>5198</v>
      </c>
      <c r="G9" s="15">
        <v>9573</v>
      </c>
      <c r="H9" s="15">
        <v>3331</v>
      </c>
      <c r="I9" s="15">
        <v>5974</v>
      </c>
      <c r="J9" s="15">
        <v>8932</v>
      </c>
      <c r="K9" s="15">
        <v>259</v>
      </c>
      <c r="L9" s="15">
        <v>10820</v>
      </c>
      <c r="M9" s="15">
        <v>9699</v>
      </c>
      <c r="O9" s="16"/>
      <c r="P9" s="16"/>
      <c r="Q9" s="16"/>
      <c r="R9" s="16"/>
      <c r="S9" s="16">
        <f>(G9-F9)/(G9+F9)</f>
        <v>0.29618847742197552</v>
      </c>
      <c r="T9" s="16">
        <f>(H9-G9)/(H9+G9)</f>
        <v>-0.48372597644141352</v>
      </c>
      <c r="U9" s="16">
        <f t="shared" si="5"/>
        <v>0.28404083825900056</v>
      </c>
      <c r="V9" s="16">
        <f t="shared" si="6"/>
        <v>0.19844357976653695</v>
      </c>
      <c r="W9" s="16">
        <f t="shared" si="7"/>
        <v>-0.94364051789794368</v>
      </c>
      <c r="X9" s="16">
        <f t="shared" si="8"/>
        <v>0.95324487769654298</v>
      </c>
    </row>
    <row r="10" spans="1:24">
      <c r="A10" s="17" t="s">
        <v>11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605</v>
      </c>
      <c r="H10" s="17">
        <v>163</v>
      </c>
      <c r="I10" s="17">
        <v>204</v>
      </c>
      <c r="J10" s="17">
        <v>299</v>
      </c>
      <c r="K10" s="17">
        <v>328</v>
      </c>
      <c r="L10" s="17">
        <v>316</v>
      </c>
      <c r="M10" s="17">
        <v>285</v>
      </c>
      <c r="O10" s="16"/>
      <c r="P10" s="16"/>
      <c r="Q10" s="16"/>
      <c r="R10" s="16"/>
      <c r="S10" s="16"/>
      <c r="T10" s="16">
        <f>(H10-G10)/(H10+G10)</f>
        <v>-0.57552083333333337</v>
      </c>
      <c r="U10" s="16">
        <f t="shared" si="5"/>
        <v>0.11171662125340599</v>
      </c>
      <c r="V10" s="16">
        <f t="shared" si="6"/>
        <v>0.18886679920477137</v>
      </c>
      <c r="W10" s="16">
        <f t="shared" si="7"/>
        <v>4.6251993620414676E-2</v>
      </c>
      <c r="X10" s="16">
        <f t="shared" si="8"/>
        <v>-1.8633540372670808E-2</v>
      </c>
    </row>
    <row r="11" spans="1:24">
      <c r="A11" s="15" t="s">
        <v>12</v>
      </c>
      <c r="B11" s="15">
        <f t="shared" ref="B11:I11" si="9">SUM(B5:B10)</f>
        <v>4447854</v>
      </c>
      <c r="C11" s="15">
        <f t="shared" si="9"/>
        <v>4163536</v>
      </c>
      <c r="D11" s="15">
        <f t="shared" si="9"/>
        <v>3999472</v>
      </c>
      <c r="E11" s="15">
        <f t="shared" si="9"/>
        <v>3831661</v>
      </c>
      <c r="F11" s="15">
        <f t="shared" si="9"/>
        <v>3641460</v>
      </c>
      <c r="G11" s="15">
        <f t="shared" si="9"/>
        <v>3003149</v>
      </c>
      <c r="H11" s="15">
        <f t="shared" si="9"/>
        <v>671570</v>
      </c>
      <c r="I11" s="15">
        <f t="shared" si="9"/>
        <v>2412828</v>
      </c>
      <c r="J11" s="15">
        <v>3810307</v>
      </c>
      <c r="K11" s="15">
        <v>3112042</v>
      </c>
      <c r="L11" s="15">
        <v>1833896</v>
      </c>
      <c r="M11" s="15">
        <v>1249996</v>
      </c>
      <c r="O11" s="16">
        <f t="shared" si="1"/>
        <v>-3.301650488480954E-2</v>
      </c>
      <c r="P11" s="16">
        <f t="shared" si="2"/>
        <v>-2.0098473503884842E-2</v>
      </c>
      <c r="Q11" s="16">
        <f t="shared" si="3"/>
        <v>-2.1428700036125042E-2</v>
      </c>
      <c r="R11" s="16">
        <f t="shared" si="4"/>
        <v>-2.5451347569509446E-2</v>
      </c>
      <c r="S11" s="16">
        <f>(G11-F11)/(G11+F11)</f>
        <v>-9.6064493787369587E-2</v>
      </c>
      <c r="T11" s="16">
        <f>(H11-G11)/(H11+G11)</f>
        <v>-0.63449178018781849</v>
      </c>
      <c r="U11" s="16">
        <f t="shared" si="5"/>
        <v>0.56453739108895806</v>
      </c>
      <c r="V11" s="16">
        <f t="shared" si="6"/>
        <v>0.22456189685745206</v>
      </c>
      <c r="W11" s="16">
        <f t="shared" si="7"/>
        <v>-0.1008711060364047</v>
      </c>
      <c r="X11" s="16">
        <f t="shared" si="8"/>
        <v>-0.25842337692061645</v>
      </c>
    </row>
    <row r="12" spans="1:24" ht="39">
      <c r="A12" s="18" t="s">
        <v>13</v>
      </c>
      <c r="B12" s="19">
        <f>(B11/100000)</f>
        <v>44.478540000000002</v>
      </c>
      <c r="C12" s="19">
        <f t="shared" ref="C12:M12" si="10">(C11/100000)</f>
        <v>41.635359999999999</v>
      </c>
      <c r="D12" s="19">
        <f t="shared" si="10"/>
        <v>39.994720000000001</v>
      </c>
      <c r="E12" s="19">
        <f t="shared" si="10"/>
        <v>38.316609999999997</v>
      </c>
      <c r="F12" s="19">
        <f t="shared" si="10"/>
        <v>36.4146</v>
      </c>
      <c r="G12" s="20">
        <f t="shared" si="10"/>
        <v>30.031490000000002</v>
      </c>
      <c r="H12" s="20">
        <f t="shared" si="10"/>
        <v>6.7157</v>
      </c>
      <c r="I12" s="19">
        <f t="shared" si="10"/>
        <v>24.12828</v>
      </c>
      <c r="J12" s="19">
        <f t="shared" si="10"/>
        <v>38.103070000000002</v>
      </c>
      <c r="K12" s="20">
        <f t="shared" si="10"/>
        <v>31.120419999999999</v>
      </c>
      <c r="L12" s="20">
        <f t="shared" si="10"/>
        <v>18.33896</v>
      </c>
      <c r="M12" s="20">
        <f t="shared" si="10"/>
        <v>12.49996</v>
      </c>
      <c r="O12" s="16">
        <f t="shared" si="1"/>
        <v>-3.3016504884809582E-2</v>
      </c>
      <c r="P12" s="16">
        <f t="shared" si="2"/>
        <v>-2.0098473503884814E-2</v>
      </c>
      <c r="Q12" s="16">
        <f t="shared" si="3"/>
        <v>-2.1428700036125091E-2</v>
      </c>
      <c r="R12" s="16">
        <f t="shared" si="4"/>
        <v>-2.5451347569509404E-2</v>
      </c>
      <c r="S12" s="16">
        <f>(G12-F12)/(G12+F12)</f>
        <v>-9.6064493787369559E-2</v>
      </c>
      <c r="T12" s="16">
        <f>(H12-G12)/(H12+G12)</f>
        <v>-0.63449178018781838</v>
      </c>
      <c r="U12" s="16">
        <f t="shared" si="5"/>
        <v>0.56453739108895795</v>
      </c>
      <c r="V12" s="16">
        <f t="shared" si="6"/>
        <v>0.22456189685745209</v>
      </c>
      <c r="W12" s="16">
        <f t="shared" si="7"/>
        <v>-0.10087110603640474</v>
      </c>
      <c r="X12" s="16">
        <f t="shared" si="8"/>
        <v>-0.25842337692061645</v>
      </c>
    </row>
    <row r="13" spans="1:24">
      <c r="A13" s="18"/>
      <c r="B13" s="21"/>
      <c r="C13" s="21"/>
      <c r="D13" s="21"/>
      <c r="E13" s="21"/>
      <c r="F13" s="21"/>
      <c r="G13" s="22" t="s">
        <v>25</v>
      </c>
      <c r="H13" s="22" t="s">
        <v>26</v>
      </c>
      <c r="I13" s="21"/>
      <c r="J13" s="21"/>
      <c r="K13" s="22" t="s">
        <v>27</v>
      </c>
      <c r="L13" s="22" t="s">
        <v>27</v>
      </c>
      <c r="M13" s="22" t="s">
        <v>28</v>
      </c>
      <c r="O13" s="23"/>
      <c r="P13" s="23"/>
      <c r="Q13" s="23"/>
      <c r="R13" s="23"/>
      <c r="S13" s="15" t="s">
        <v>25</v>
      </c>
      <c r="T13" s="15" t="s">
        <v>26</v>
      </c>
      <c r="U13" s="24"/>
      <c r="V13" s="24"/>
      <c r="W13" s="15" t="s">
        <v>27</v>
      </c>
      <c r="X13" s="15" t="s">
        <v>27</v>
      </c>
    </row>
    <row r="14" spans="1:24">
      <c r="A14" s="1"/>
      <c r="B14" s="2"/>
      <c r="C14" s="2"/>
      <c r="D14" s="2"/>
      <c r="E14" s="2"/>
      <c r="F14" s="2"/>
      <c r="G14" s="3"/>
      <c r="H14" s="3"/>
      <c r="I14" s="2"/>
      <c r="J14" s="2"/>
      <c r="K14" s="3"/>
      <c r="L14" s="3"/>
      <c r="M14" s="3"/>
    </row>
    <row r="15" spans="1:24">
      <c r="A15" s="5" t="s">
        <v>29</v>
      </c>
      <c r="B15" s="9" t="s">
        <v>30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24">
      <c r="A16" s="6"/>
      <c r="B16" s="9" t="s">
        <v>31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>
      <c r="A17" s="6"/>
      <c r="B17" s="25" t="s">
        <v>54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>
      <c r="A18" s="7"/>
      <c r="B18" s="26" t="s">
        <v>55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</sheetData>
  <mergeCells count="7">
    <mergeCell ref="O2:X2"/>
    <mergeCell ref="B17:M17"/>
    <mergeCell ref="B16:M16"/>
    <mergeCell ref="B15:M15"/>
    <mergeCell ref="B18:M18"/>
    <mergeCell ref="A15:A18"/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 Rates</vt:lpstr>
      <vt:lpstr>Pass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Gurugubelli Sai Chaitanya</dc:creator>
  <cp:lastModifiedBy>Gurugubelli Sai Chaitanya</cp:lastModifiedBy>
  <cp:revision>1</cp:revision>
  <dcterms:created xsi:type="dcterms:W3CDTF">2026-03-20T02:04:47Z</dcterms:created>
  <dcterms:modified xsi:type="dcterms:W3CDTF">2026-03-20T09:45:38Z</dcterms:modified>
</cp:coreProperties>
</file>